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Overview" sheetId="1" state="visible" r:id="rId3"/>
    <sheet name="Product Catalog" sheetId="2" state="visible" r:id="rId4"/>
    <sheet name="Regional Sales" sheetId="3" state="visible" r:id="rId5"/>
    <sheet name="Quarterly P&amp;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<sst xmlns="http://schemas.openxmlformats.org/spreadsheetml/2006/main" count="95" uniqueCount="84">
  <si>
    <t xml:space="preserve">☕  Summit Coffee Roasters</t>
  </si>
  <si>
    <t xml:space="preserve">FY2025 Monthly Revenue by Product Line  ·  figures in USD</t>
  </si>
  <si>
    <t xml:space="preserve">Month</t>
  </si>
  <si>
    <t xml:space="preserve">Espresso Blend</t>
  </si>
  <si>
    <t xml:space="preserve">Single Origin</t>
  </si>
  <si>
    <t xml:space="preserve">Cold Brew</t>
  </si>
  <si>
    <t xml:space="preserve">Decaf Reserve</t>
  </si>
  <si>
    <t xml:space="preserve">Total Revenue</t>
  </si>
  <si>
    <t xml:space="preserve">MoM Growth</t>
  </si>
  <si>
    <t xml:space="preserve">Jan</t>
  </si>
  <si>
    <t xml:space="preserve">—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</si>
  <si>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</si>
  <si>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</si>
  <si>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</si>
  <si>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</si>
  <si>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</si>
  <si>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</si>
  <si>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</si>
  <si>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</si>
  <si>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</si>
  <si>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</si>
  <si>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</si>
  <si>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FY Total</t>
  </si>
  <si>
    <t xml:space="preserve">Product Catalog</t>
  </si>
  <si>
    <t xml:space="preserve">Pricing, margins &amp; units sold  ·  FY2025</t>
  </si>
  <si>
    <t xml:space="preserve">SKU</t>
  </si>
  <si>
    <t xml:space="preserve">Product</t>
  </si>
  <si>
    <t xml:space="preserve">Category</t>
  </si>
  <si>
    <t xml:space="preserve">Unit Price</t>
  </si>
  <si>
    <t xml:space="preserve">Unit Cost</t>
  </si>
  <si>
    <t xml:space="preserve">Margin %</t>
  </si>
  <si>
    <t xml:space="preserve">Units Sold</t>
  </si>
  <si>
    <t xml:space="preserve">Revenue</t>
  </si>
  <si>
    <t xml:space="preserve">Gross Profit</t>
  </si>
  <si>
    <t xml:space="preserve">SCR-101</t>
  </si>
  <si>
    <t xml:space="preserve">Whole Bean</t>
  </si>
  <si>
    <t xml:space="preserve">SCR-102</t>
  </si>
  <si>
    <t xml:space="preserve">Single Origin Ethiopia</t>
  </si>
  <si>
    <t xml:space="preserve">SCR-103</t>
  </si>
  <si>
    <t xml:space="preserve">Cold Brew Concentrate</t>
  </si>
  <si>
    <t xml:space="preserve">Ready-to-Drink</t>
  </si>
  <si>
    <t xml:space="preserve">SCR-104</t>
  </si>
  <si>
    <t xml:space="preserve">SCR-105</t>
  </si>
  <si>
    <t xml:space="preserve">Breakfast Blend</t>
  </si>
  <si>
    <t xml:space="preserve">Ground</t>
  </si>
  <si>
    <t xml:space="preserve">SCR-106</t>
  </si>
  <si>
    <t xml:space="preserve">Espresso Capsules (30ct)</t>
  </si>
  <si>
    <t xml:space="preserve">Capsules</t>
  </si>
  <si>
    <t xml:space="preserve">SCR-107</t>
  </si>
  <si>
    <t xml:space="preserve">Seasonal Roast</t>
  </si>
  <si>
    <t xml:space="preserve">SCR-108</t>
  </si>
  <si>
    <t xml:space="preserve">House Drip</t>
  </si>
  <si>
    <t xml:space="preserve">SCR-109</t>
  </si>
  <si>
    <t xml:space="preserve">Barista Milk Frother</t>
  </si>
  <si>
    <t xml:space="preserve">Equipment</t>
  </si>
  <si>
    <t xml:space="preserve">SCR-110</t>
  </si>
  <si>
    <t xml:space="preserve">Ceramic Pour-Over Kit</t>
  </si>
  <si>
    <t xml:space="preserve">Total</t>
  </si>
  <si>
    <t xml:space="preserve">Regional Sales by Channel</t>
  </si>
  <si>
    <t xml:space="preserve">FY2025 revenue split across sales channels  ·  USD</t>
  </si>
  <si>
    <t xml:space="preserve">Region</t>
  </si>
  <si>
    <t xml:space="preserve">Retail</t>
  </si>
  <si>
    <t xml:space="preserve">Wholesale</t>
  </si>
  <si>
    <t xml:space="preserve">Online</t>
  </si>
  <si>
    <t xml:space="preserve">% of Total</t>
  </si>
  <si>
    <t xml:space="preserve">North America</t>
  </si>
  <si>
    <t xml:space="preserve">Europe</t>
  </si>
  <si>
    <t xml:space="preserve">Asia Pacific</t>
  </si>
  <si>
    <t xml:space="preserve">Latin America</t>
  </si>
  <si>
    <t xml:space="preserve">Middle East</t>
  </si>
  <si>
    <t xml:space="preserve">Income Statement</t>
  </si>
  <si>
    <t xml:space="preserve">FY2025 quarterly profit &amp; loss  ·  USD</t>
  </si>
  <si>
    <t xml:space="preserve">Line Item</t>
  </si>
  <si>
    <t xml:space="preserve">Q1</t>
  </si>
  <si>
    <t xml:space="preserve">Q2</t>
  </si>
  <si>
    <t xml:space="preserve">Q3</t>
  </si>
  <si>
    <t xml:space="preserve">Q4</t>
  </si>
  <si>
    <t xml:space="preserve">FY 2025</t>
  </si>
  <si>
    <t xml:space="preserve">Cost of Goods Sold</t>
  </si>
  <si>
    <t xml:space="preserve">Operating Expenses</t>
  </si>
  <si>
    <t xml:space="preserve">EBITDA</t>
  </si>
  <si>
    <t xml:space="preserve">Depreciation &amp; Amort.</t>
  </si>
  <si>
    <t xml:space="preserve">Net Income</t>
  </si>
  <si>
    <t xml:space="preserve">Net Margin %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</si>
</sst>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0.0%;[RED]\-0.0%"/>
    <numFmt numFmtId="167" formatCode="0%"/>
    <numFmt numFmtId="168" formatCode="\$#,##0.00"/>
    <numFmt numFmtId="169" formatCode="0.0%"/>
    <numFmt numFmtId="170" formatCode="#,##0"/>
  </numFmts>
  <fonts count="14">
    <font>
      <sz val="11"/>
      <color theme="1"/>
      <name val="Inter"/>
      <family val="2"/>
      <charset val="1"/>
    </font>
    <font>
      <sz val="10"/>
      <name val="Inter"/>
      <family val="0"/>
    </font>
    <font>
      <sz val="10"/>
      <name val="Inter"/>
      <family val="0"/>
    </font>
    <font>
      <sz val="10"/>
      <name val="Inter"/>
      <family val="0"/>
    </font>
    <font>
      <b val="true"/>
      <sz val="18"/>
      <color rgb="FFFFFFFF"/>
      <name val="Inter"/>
      <family val="0"/>
      <charset val="1"/>
    </font>
    <font>
      <i val="true"/>
      <sz val="10"/>
      <color rgb="FF8D6E63"/>
      <name val="Inter"/>
      <family val="0"/>
      <charset val="1"/>
    </font>
    <font>
      <b val="true"/>
      <sz val="10"/>
      <color rgb="FFFFFFFF"/>
      <name val="Inter"/>
      <family val="0"/>
      <charset val="1"/>
    </font>
    <font>
      <b val="true"/>
      <sz val="10"/>
      <color rgb="FF2B2B2B"/>
      <name val="Inter"/>
      <family val="0"/>
      <charset val="1"/>
    </font>
    <font>
      <sz val="10"/>
      <color rgb="FF2B2B2B"/>
      <name val="Inter"/>
      <family val="0"/>
      <charset val="1"/>
    </font>
    <font>
      <b val="true"/>
      <sz val="10"/>
      <color rgb="FF3E2723"/>
      <name val="Inter"/>
      <family val="0"/>
      <charset val="1"/>
    </font>
    <font>
      <b val="true"/>
      <sz val="18"/>
      <color rgb="FF000000"/>
      <name val="Inter"/>
      <family val="2"/>
    </font>
    <font>
      <sz val="10"/>
      <color rgb="FF000000"/>
      <name val="Inter"/>
      <family val="2"/>
    </font>
    <font>
      <b val="true"/>
      <sz val="10"/>
      <color rgb="FF000000"/>
      <name val="Inter"/>
      <family val="2"/>
    </font>
    <font>
      <b val="true"/>
      <sz val="10"/>
      <color rgb="FF5D4037"/>
      <name val="Inter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E2723"/>
        <bgColor rgb="FF2B2B2B"/>
      </patternFill>
    </fill>
    <fill>
      <patternFill patternType="solid">
        <fgColor rgb="FF5D4037"/>
        <bgColor rgb="FF3E2723"/>
      </patternFill>
    </fill>
    <fill>
      <patternFill patternType="solid">
        <fgColor rgb="FFF6F1E7"/>
        <bgColor rgb="FFFBF8F2"/>
      </patternFill>
    </fill>
    <fill>
      <patternFill patternType="solid">
        <fgColor rgb="FFFBF8F2"/>
        <bgColor rgb="FFF6F1E7"/>
      </patternFill>
    </fill>
    <fill>
      <patternFill patternType="solid">
        <fgColor rgb="FFC8964B"/>
        <bgColor rgb="FFD7B37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CFC0"/>
      </left>
      <right style="thin">
        <color rgb="FFD9CFC0"/>
      </right>
      <top style="thin">
        <color rgb="FFD9CFC0"/>
      </top>
      <bottom style="thin">
        <color rgb="FFD9CFC0"/>
      </bottom>
      <diagonal/>
    </border>
    <border diagonalUp="false" diagonalDown="false">
      <left style="thin">
        <color rgb="FFD9CFC0"/>
      </left>
      <right style="thin">
        <color rgb="FFD9CFC0"/>
      </right>
      <top style="medium">
        <color rgb="FF3E2723"/>
      </top>
      <bottom style="medium">
        <color rgb="FF3E272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D6E63"/>
      <rgbColor rgb="FF800080"/>
      <rgbColor rgb="FF008080"/>
      <rgbColor rgb="FFD9CFC0"/>
      <rgbColor rgb="FF878787"/>
      <rgbColor rgb="FF9999FF"/>
      <rgbColor rgb="FF5D4037"/>
      <rgbColor rgb="FFFBF8F2"/>
      <rgbColor rgb="FFF6F1E7"/>
      <rgbColor rgb="FF660066"/>
      <rgbColor rgb="FFC8964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7B377"/>
      <rgbColor rgb="FF3366FF"/>
      <rgbColor rgb="FF33CCCC"/>
      <rgbColor rgb="FF99CC00"/>
      <rgbColor rgb="FFFFCC00"/>
      <rgbColor rgb="FFFF9900"/>
      <rgbColor rgb="FFFF6600"/>
      <rgbColor rgb="FF4F81BD"/>
      <rgbColor rgb="FFA1887F"/>
      <rgbColor rgb="FF003366"/>
      <rgbColor rgb="FF339966"/>
      <rgbColor rgb="FF003300"/>
      <rgbColor rgb="FF3E2723"/>
      <rgbColor rgb="FF993300"/>
      <rgbColor rgb="FF993366"/>
      <rgbColor rgb="FF333399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Inter"/>
              </a:defRPr>
            </a:pPr>
            <a:r>
              <a:rPr b="1" sz="1800" spc="-1" strike="noStrike">
                <a:solidFill>
                  <a:srgbClr val="000000"/>
                </a:solidFill>
                <a:latin typeface="Inter"/>
              </a:rPr>
              <a:t>Monthly Revenue Mix &amp; 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'Sales Overview'!C5</c:f>
              <c:strCache>
                <c:ptCount val="1"/>
                <c:pt idx="0">
                  <c:v>Espresso Blend</c:v>
                </c:pt>
              </c:strCache>
            </c:strRef>
          </c:tx>
          <c:spPr>
            <a:solidFill>
              <a:srgbClr val="3e272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Inter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Overview'!$B$6:$B$17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Overview'!$C$6:$C$17</c:f>
              <c:numCache>
                <c:formatCode>\$#,##0</c:formatCode>
                <c:ptCount val="12"/>
                <c:pt idx="0">
                  <c:v>42000</c:v>
                </c:pt>
                <c:pt idx="1">
                  <c:v>44000</c:v>
                </c:pt>
                <c:pt idx="2">
                  <c:v>47000</c:v>
                </c:pt>
                <c:pt idx="3">
                  <c:v>45000</c:v>
                </c:pt>
                <c:pt idx="4">
                  <c:v>48000</c:v>
                </c:pt>
                <c:pt idx="5">
                  <c:v>46000</c:v>
                </c:pt>
                <c:pt idx="6">
                  <c:v>44000</c:v>
                </c:pt>
                <c:pt idx="7">
                  <c:v>45000</c:v>
                </c:pt>
                <c:pt idx="8">
                  <c:v>49000</c:v>
                </c:pt>
                <c:pt idx="9">
                  <c:v>55000</c:v>
                </c:pt>
                <c:pt idx="10">
                  <c:v>63000</c:v>
                </c:pt>
                <c:pt idx="11">
                  <c:v>71000</c:v>
                </c:pt>
              </c:numCache>
            </c:numRef>
          </c:val>
        </c:ser>
        <c:ser>
          <c:idx val="1"/>
          <c:order val="1"/>
          <c:tx>
            <c:strRef>
              <c:f>'Sales Overview'!D5</c:f>
              <c:strCache>
                <c:ptCount val="1"/>
                <c:pt idx="0">
                  <c:v>Single Origin</c:v>
                </c:pt>
              </c:strCache>
            </c:strRef>
          </c:tx>
          <c:spPr>
            <a:solidFill>
              <a:srgbClr val="c8964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Inter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Overview'!$B$6:$B$17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Overview'!$D$6:$D$17</c:f>
              <c:numCache>
                <c:formatCode>\$#,##0</c:formatCode>
                <c:ptCount val="12"/>
                <c:pt idx="0">
                  <c:v>28000</c:v>
                </c:pt>
                <c:pt idx="1">
                  <c:v>29000</c:v>
                </c:pt>
                <c:pt idx="2">
                  <c:v>31000</c:v>
                </c:pt>
                <c:pt idx="3">
                  <c:v>33000</c:v>
                </c:pt>
                <c:pt idx="4">
                  <c:v>36000</c:v>
                </c:pt>
                <c:pt idx="5">
                  <c:v>38000</c:v>
                </c:pt>
                <c:pt idx="6">
                  <c:v>40000</c:v>
                </c:pt>
                <c:pt idx="7">
                  <c:v>39000</c:v>
                </c:pt>
                <c:pt idx="8">
                  <c:v>37000</c:v>
                </c:pt>
                <c:pt idx="9">
                  <c:v>35000</c:v>
                </c:pt>
                <c:pt idx="10">
                  <c:v>34000</c:v>
                </c:pt>
                <c:pt idx="11">
                  <c:v>33000</c:v>
                </c:pt>
              </c:numCache>
            </c:numRef>
          </c:val>
        </c:ser>
        <c:ser>
          <c:idx val="2"/>
          <c:order val="2"/>
          <c:tx>
            <c:strRef>
              <c:f>'Sales Overview'!E5</c:f>
              <c:strCache>
                <c:ptCount val="1"/>
                <c:pt idx="0">
                  <c:v>Cold Brew</c:v>
                </c:pt>
              </c:strCache>
            </c:strRef>
          </c:tx>
          <c:spPr>
            <a:solidFill>
              <a:srgbClr val="8d6e6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Inter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Overview'!$B$6:$B$17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Overview'!$E$6:$E$17</c:f>
              <c:numCache>
                <c:formatCode>\$#,##0</c:formatCode>
                <c:ptCount val="12"/>
                <c:pt idx="0">
                  <c:v>12000</c:v>
                </c:pt>
                <c:pt idx="1">
                  <c:v>14000</c:v>
                </c:pt>
                <c:pt idx="2">
                  <c:v>19000</c:v>
                </c:pt>
                <c:pt idx="3">
                  <c:v>26000</c:v>
                </c:pt>
                <c:pt idx="4">
                  <c:v>34000</c:v>
                </c:pt>
                <c:pt idx="5">
                  <c:v>41000</c:v>
                </c:pt>
                <c:pt idx="6">
                  <c:v>45000</c:v>
                </c:pt>
                <c:pt idx="7">
                  <c:v>44000</c:v>
                </c:pt>
                <c:pt idx="8">
                  <c:v>38000</c:v>
                </c:pt>
                <c:pt idx="9">
                  <c:v>28000</c:v>
                </c:pt>
                <c:pt idx="10">
                  <c:v>20000</c:v>
                </c:pt>
                <c:pt idx="11">
                  <c:v>15000</c:v>
                </c:pt>
              </c:numCache>
            </c:numRef>
          </c:val>
        </c:ser>
        <c:ser>
          <c:idx val="3"/>
          <c:order val="3"/>
          <c:tx>
            <c:strRef>
              <c:f>'Sales Overview'!F5</c:f>
              <c:strCache>
                <c:ptCount val="1"/>
                <c:pt idx="0">
                  <c:v>Decaf Reserve</c:v>
                </c:pt>
              </c:strCache>
            </c:strRef>
          </c:tx>
          <c:spPr>
            <a:solidFill>
              <a:srgbClr val="a1887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Inter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Overview'!$B$6:$B$17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Overview'!$F$6:$F$17</c:f>
              <c:numCache>
                <c:formatCode>\$#,##0</c:formatCode>
                <c:ptCount val="12"/>
                <c:pt idx="0">
                  <c:v>9000</c:v>
                </c:pt>
                <c:pt idx="1">
                  <c:v>9000</c:v>
                </c:pt>
                <c:pt idx="2">
                  <c:v>10000</c:v>
                </c:pt>
                <c:pt idx="3">
                  <c:v>10000</c:v>
                </c:pt>
                <c:pt idx="4">
                  <c:v>11000</c:v>
                </c:pt>
                <c:pt idx="5">
                  <c:v>11000</c:v>
                </c:pt>
                <c:pt idx="6">
                  <c:v>12000</c:v>
                </c:pt>
                <c:pt idx="7">
                  <c:v>12000</c:v>
                </c:pt>
                <c:pt idx="8">
                  <c:v>12000</c:v>
                </c:pt>
                <c:pt idx="9">
                  <c:v>13000</c:v>
                </c:pt>
                <c:pt idx="10">
                  <c:v>15000</c:v>
                </c:pt>
                <c:pt idx="11">
                  <c:v>17000</c:v>
                </c:pt>
              </c:numCache>
            </c:numRef>
          </c:val>
        </c:ser>
        <c:gapWidth val="150"/>
        <c:overlap val="100"/>
        <c:axId val="91587265"/>
        <c:axId val="82520251"/>
      </c:barChart>
      <c:lineChart>
        <c:grouping val="stacked"/>
        <c:varyColors val="0"/>
        <c:ser>
          <c:idx val="4"/>
          <c:order val="4"/>
          <c:tx>
            <c:strRef>
              <c:f>'Sales Overview'!H5</c:f>
              <c:strCache>
                <c:ptCount val="1"/>
                <c:pt idx="0">
                  <c:v>MoM Growth</c:v>
                </c:pt>
              </c:strCache>
            </c:strRef>
          </c:tx>
          <c:spPr>
            <a:solidFill>
              <a:srgbClr val="c8964b"/>
            </a:solidFill>
            <a:ln w="28080">
              <a:solidFill>
                <a:srgbClr val="c896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Inter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Overview'!$B$6:$B$17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Overview'!$H$6:$H$17</c:f>
              <c:numCache>
                <c:formatCode>0.0%;[RED]\-0.0%</c:formatCode>
                <c:ptCount val="12"/>
                <c:pt idx="1">
                  <c:v>0.0549450549450549</c:v>
                </c:pt>
                <c:pt idx="2">
                  <c:v>0.114583333333333</c:v>
                </c:pt>
                <c:pt idx="3">
                  <c:v>0.0654205607476635</c:v>
                </c:pt>
                <c:pt idx="4">
                  <c:v>0.131578947368421</c:v>
                </c:pt>
                <c:pt idx="5">
                  <c:v>0.0542635658914729</c:v>
                </c:pt>
                <c:pt idx="6">
                  <c:v>0.0367647058823529</c:v>
                </c:pt>
                <c:pt idx="7">
                  <c:v>-0.00709219858156028</c:v>
                </c:pt>
                <c:pt idx="8">
                  <c:v>-0.0285714285714286</c:v>
                </c:pt>
                <c:pt idx="9">
                  <c:v>-0.0367647058823529</c:v>
                </c:pt>
                <c:pt idx="10">
                  <c:v>0.00763358778625954</c:v>
                </c:pt>
                <c:pt idx="11">
                  <c:v>0.0303030303030303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449727"/>
        <c:axId val="10912288"/>
      </c:lineChart>
      <c:catAx>
        <c:axId val="915872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Inter"/>
              </a:defRPr>
            </a:pPr>
          </a:p>
        </c:txPr>
        <c:crossAx val="82520251"/>
        <c:crosses val="autoZero"/>
        <c:auto val="1"/>
        <c:lblAlgn val="ctr"/>
        <c:lblOffset val="100"/>
        <c:noMultiLvlLbl val="0"/>
      </c:catAx>
      <c:valAx>
        <c:axId val="8252025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Inter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Inter"/>
                  </a:rPr>
                  <a:t>Revenue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Inter"/>
              </a:defRPr>
            </a:pPr>
          </a:p>
        </c:txPr>
        <c:crossAx val="91587265"/>
        <c:crosses val="autoZero"/>
        <c:crossBetween val="between"/>
      </c:valAx>
      <c:catAx>
        <c:axId val="48449727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Inter"/>
              </a:defRPr>
            </a:pPr>
          </a:p>
        </c:txPr>
        <c:crossAx val="10912288"/>
        <c:crosses val="autoZero"/>
        <c:auto val="1"/>
        <c:lblAlgn val="ctr"/>
        <c:lblOffset val="100"/>
        <c:noMultiLvlLbl val="0"/>
      </c:catAx>
      <c:valAx>
        <c:axId val="10912288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Inter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Inter"/>
                  </a:rPr>
                  <a:t>MoM Growth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Inter"/>
              </a:defRPr>
            </a:pPr>
          </a:p>
        </c:txPr>
        <c:crossAx val="48449727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Inter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Inter"/>
              </a:defRPr>
            </a:pPr>
            <a:r>
              <a:rPr b="1" sz="1800" spc="-1" strike="noStrike">
                <a:solidFill>
                  <a:srgbClr val="000000"/>
                </a:solidFill>
                <a:latin typeface="Inter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'Product Catalog'!I5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3e2723"/>
            </a:solidFill>
            <a:ln w="0">
              <a:noFill/>
            </a:ln>
          </c:spPr>
          <c:invertIfNegative val="0"/>
          <c:dLbls>
            <c:numFmt formatCode="\$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Inter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Catalog'!$C$6:$C$15</c:f>
              <c:strCache>
                <c:ptCount val="10"/>
                <c:pt idx="0">
                  <c:v>Espresso Blend</c:v>
                </c:pt>
                <c:pt idx="1">
                  <c:v>Single Origin Ethiopia</c:v>
                </c:pt>
                <c:pt idx="2">
                  <c:v>Cold Brew Concentrate</c:v>
                </c:pt>
                <c:pt idx="3">
                  <c:v>Decaf Reserve</c:v>
                </c:pt>
                <c:pt idx="4">
                  <c:v>Breakfast Blend</c:v>
                </c:pt>
                <c:pt idx="5">
                  <c:v>Espresso Capsules (30ct)</c:v>
                </c:pt>
                <c:pt idx="6">
                  <c:v>Seasonal Roast</c:v>
                </c:pt>
                <c:pt idx="7">
                  <c:v>House Drip</c:v>
                </c:pt>
                <c:pt idx="8">
                  <c:v>Barista Milk Frother</c:v>
                </c:pt>
                <c:pt idx="9">
                  <c:v>Ceramic Pour-Over Kit</c:v>
                </c:pt>
              </c:strCache>
            </c:strRef>
          </c:cat>
          <c:val>
            <c:numRef>
              <c:f>'Product Catalog'!$I$6:$I$15</c:f>
              <c:numCache>
                <c:formatCode>\$#,##0</c:formatCode>
                <c:ptCount val="10"/>
                <c:pt idx="0">
                  <c:v>572400</c:v>
                </c:pt>
                <c:pt idx="1">
                  <c:v>312400</c:v>
                </c:pt>
                <c:pt idx="2">
                  <c:v>316400</c:v>
                </c:pt>
                <c:pt idx="3">
                  <c:v>169100</c:v>
                </c:pt>
                <c:pt idx="4">
                  <c:v>438400</c:v>
                </c:pt>
                <c:pt idx="5">
                  <c:v>474000</c:v>
                </c:pt>
                <c:pt idx="6">
                  <c:v>237300</c:v>
                </c:pt>
                <c:pt idx="7">
                  <c:v>496500</c:v>
                </c:pt>
                <c:pt idx="8">
                  <c:v>101400</c:v>
                </c:pt>
                <c:pt idx="9">
                  <c:v>139400</c:v>
                </c:pt>
              </c:numCache>
            </c:numRef>
          </c:val>
        </c:ser>
        <c:gapWidth val="150"/>
        <c:overlap val="0"/>
        <c:axId val="18974711"/>
        <c:axId val="58230065"/>
      </c:barChart>
      <c:catAx>
        <c:axId val="18974711"/>
        <c:scaling>
          <c:orientation val="minMax"/>
        </c:scaling>
        <c:delete val="0"/>
        <c:axPos val="b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Inter"/>
              </a:defRPr>
            </a:pPr>
          </a:p>
        </c:txPr>
        <c:crossAx val="58230065"/>
        <c:crosses val="autoZero"/>
        <c:auto val="1"/>
        <c:lblAlgn val="ctr"/>
        <c:lblOffset val="100"/>
        <c:noMultiLvlLbl val="0"/>
      </c:catAx>
      <c:valAx>
        <c:axId val="582300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Inter"/>
              </a:defRPr>
            </a:pPr>
          </a:p>
        </c:txPr>
        <c:crossAx val="189747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Inter"/>
              </a:defRPr>
            </a:pPr>
            <a:r>
              <a:rPr b="1" sz="1800" spc="-1" strike="noStrike">
                <a:solidFill>
                  <a:srgbClr val="000000"/>
                </a:solidFill>
                <a:latin typeface="Inter"/>
              </a:rPr>
              <a:t>Share of 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'Regional Sales'!F5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3e2723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8964b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d6e63"/>
              </a:solidFill>
              <a:ln w="0">
                <a:noFill/>
              </a:ln>
            </c:spPr>
          </c:dPt>
          <c:dPt>
            <c:idx val="3"/>
            <c:spPr>
              <a:solidFill>
                <a:srgbClr val="a1887f"/>
              </a:solidFill>
              <a:ln w="0">
                <a:noFill/>
              </a:ln>
            </c:spPr>
          </c:dPt>
          <c:dPt>
            <c:idx val="4"/>
            <c:spPr>
              <a:solidFill>
                <a:srgbClr val="d7b37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Inter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Inter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Inter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Inter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Inter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Inter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'Regional Sales'!$B$6:$B$10</c:f>
              <c:strCache>
                <c:ptCount val="5"/>
                <c:pt idx="0">
                  <c:v>North America</c:v>
                </c:pt>
                <c:pt idx="1">
                  <c:v>Europe</c:v>
                </c:pt>
                <c:pt idx="2">
                  <c:v>Asia Pacific</c:v>
                </c:pt>
                <c:pt idx="3">
                  <c:v>Latin America</c:v>
                </c:pt>
                <c:pt idx="4">
                  <c:v>Middle East</c:v>
                </c:pt>
              </c:strCache>
            </c:strRef>
          </c:cat>
          <c:val>
            <c:numRef>
              <c:f>'Regional Sales'!$F$6:$F$10</c:f>
              <c:numCache>
                <c:formatCode>\$#,##0</c:formatCode>
                <c:ptCount val="5"/>
                <c:pt idx="0">
                  <c:v>1066000</c:v>
                </c:pt>
                <c:pt idx="1">
                  <c:v>534000</c:v>
                </c:pt>
                <c:pt idx="2">
                  <c:v>346000</c:v>
                </c:pt>
                <c:pt idx="3">
                  <c:v>184000</c:v>
                </c:pt>
                <c:pt idx="4">
                  <c:v>107000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Inter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Inter"/>
              </a:defRPr>
            </a:pPr>
            <a:r>
              <a:rPr b="1" sz="1800" spc="-1" strike="noStrike">
                <a:solidFill>
                  <a:srgbClr val="000000"/>
                </a:solidFill>
                <a:latin typeface="Inter"/>
              </a:rPr>
              <a:t>Channel Mix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'Regional Sales'!C5</c:f>
              <c:strCache>
                <c:ptCount val="1"/>
                <c:pt idx="0">
                  <c:v>Retail</c:v>
                </c:pt>
              </c:strCache>
            </c:strRef>
          </c:tx>
          <c:spPr>
            <a:solidFill>
              <a:srgbClr val="3e272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Inter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Sales'!$B$6:$B$10</c:f>
              <c:strCache>
                <c:ptCount val="5"/>
                <c:pt idx="0">
                  <c:v>North America</c:v>
                </c:pt>
                <c:pt idx="1">
                  <c:v>Europe</c:v>
                </c:pt>
                <c:pt idx="2">
                  <c:v>Asia Pacific</c:v>
                </c:pt>
                <c:pt idx="3">
                  <c:v>Latin America</c:v>
                </c:pt>
                <c:pt idx="4">
                  <c:v>Middle East</c:v>
                </c:pt>
              </c:strCache>
            </c:strRef>
          </c:cat>
          <c:val>
            <c:numRef>
              <c:f>'Regional Sales'!$C$6:$C$10</c:f>
              <c:numCache>
                <c:formatCode>\$#,##0</c:formatCode>
                <c:ptCount val="5"/>
                <c:pt idx="0">
                  <c:v>486000</c:v>
                </c:pt>
                <c:pt idx="1">
                  <c:v>214000</c:v>
                </c:pt>
                <c:pt idx="2">
                  <c:v>132000</c:v>
                </c:pt>
                <c:pt idx="3">
                  <c:v>74000</c:v>
                </c:pt>
                <c:pt idx="4">
                  <c:v>38000</c:v>
                </c:pt>
              </c:numCache>
            </c:numRef>
          </c:val>
        </c:ser>
        <c:ser>
          <c:idx val="1"/>
          <c:order val="1"/>
          <c:tx>
            <c:strRef>
              <c:f>'Regional Sales'!D5</c:f>
              <c:strCache>
                <c:ptCount val="1"/>
                <c:pt idx="0">
                  <c:v>Wholesale</c:v>
                </c:pt>
              </c:strCache>
            </c:strRef>
          </c:tx>
          <c:spPr>
            <a:solidFill>
              <a:srgbClr val="c8964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Inter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Sales'!$B$6:$B$10</c:f>
              <c:strCache>
                <c:ptCount val="5"/>
                <c:pt idx="0">
                  <c:v>North America</c:v>
                </c:pt>
                <c:pt idx="1">
                  <c:v>Europe</c:v>
                </c:pt>
                <c:pt idx="2">
                  <c:v>Asia Pacific</c:v>
                </c:pt>
                <c:pt idx="3">
                  <c:v>Latin America</c:v>
                </c:pt>
                <c:pt idx="4">
                  <c:v>Middle East</c:v>
                </c:pt>
              </c:strCache>
            </c:strRef>
          </c:cat>
          <c:val>
            <c:numRef>
              <c:f>'Regional Sales'!$D$6:$D$10</c:f>
              <c:numCache>
                <c:formatCode>\$#,##0</c:formatCode>
                <c:ptCount val="5"/>
                <c:pt idx="0">
                  <c:v>312000</c:v>
                </c:pt>
                <c:pt idx="1">
                  <c:v>178000</c:v>
                </c:pt>
                <c:pt idx="2">
                  <c:v>96000</c:v>
                </c:pt>
                <c:pt idx="3">
                  <c:v>61000</c:v>
                </c:pt>
                <c:pt idx="4">
                  <c:v>42000</c:v>
                </c:pt>
              </c:numCache>
            </c:numRef>
          </c:val>
        </c:ser>
        <c:ser>
          <c:idx val="2"/>
          <c:order val="2"/>
          <c:tx>
            <c:strRef>
              <c:f>'Regional Sales'!E5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rgbClr val="8d6e6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Inter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Sales'!$B$6:$B$10</c:f>
              <c:strCache>
                <c:ptCount val="5"/>
                <c:pt idx="0">
                  <c:v>North America</c:v>
                </c:pt>
                <c:pt idx="1">
                  <c:v>Europe</c:v>
                </c:pt>
                <c:pt idx="2">
                  <c:v>Asia Pacific</c:v>
                </c:pt>
                <c:pt idx="3">
                  <c:v>Latin America</c:v>
                </c:pt>
                <c:pt idx="4">
                  <c:v>Middle East</c:v>
                </c:pt>
              </c:strCache>
            </c:strRef>
          </c:cat>
          <c:val>
            <c:numRef>
              <c:f>'Regional Sales'!$E$6:$E$10</c:f>
              <c:numCache>
                <c:formatCode>\$#,##0</c:formatCode>
                <c:ptCount val="5"/>
                <c:pt idx="0">
                  <c:v>268000</c:v>
                </c:pt>
                <c:pt idx="1">
                  <c:v>142000</c:v>
                </c:pt>
                <c:pt idx="2">
                  <c:v>118000</c:v>
                </c:pt>
                <c:pt idx="3">
                  <c:v>49000</c:v>
                </c:pt>
                <c:pt idx="4">
                  <c:v>27000</c:v>
                </c:pt>
              </c:numCache>
            </c:numRef>
          </c:val>
        </c:ser>
        <c:gapWidth val="150"/>
        <c:overlap val="100"/>
        <c:axId val="61288714"/>
        <c:axId val="7468924"/>
      </c:barChart>
      <c:catAx>
        <c:axId val="612887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Inter"/>
              </a:defRPr>
            </a:pPr>
          </a:p>
        </c:txPr>
        <c:crossAx val="7468924"/>
        <c:crosses val="autoZero"/>
        <c:auto val="1"/>
        <c:lblAlgn val="ctr"/>
        <c:lblOffset val="100"/>
        <c:noMultiLvlLbl val="0"/>
      </c:catAx>
      <c:valAx>
        <c:axId val="74689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Inter"/>
              </a:defRPr>
            </a:pPr>
          </a:p>
        </c:txPr>
        <c:crossAx val="612887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Inter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Inter"/>
              </a:defRPr>
            </a:pPr>
            <a:r>
              <a:rPr b="1" sz="1800" spc="-1" strike="noStrike">
                <a:solidFill>
                  <a:srgbClr val="000000"/>
                </a:solidFill>
                <a:latin typeface="Inter"/>
              </a:rPr>
              <a:t>Revenue, Gross Profit &amp; Net Income by Quarter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ndard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d7b377"/>
            </a:solidFill>
            <a:ln w="0">
              <a:solidFill>
                <a:srgbClr val="d7b377"/>
              </a:solidFill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Inter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'Quarterly P&amp;L'!$C$5:$F$5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'Quarterly P&amp;L'!$C$6:$F$6</c:f>
              <c:numCache>
                <c:formatCode>\$#,##0</c:formatCode>
                <c:ptCount val="4"/>
                <c:pt idx="0">
                  <c:v>612000</c:v>
                </c:pt>
                <c:pt idx="1">
                  <c:v>705000</c:v>
                </c:pt>
                <c:pt idx="2">
                  <c:v>798000</c:v>
                </c:pt>
                <c:pt idx="3">
                  <c:v>861000</c:v>
                </c:pt>
              </c:numCache>
            </c:numRef>
          </c:val>
        </c:ser>
        <c:ser>
          <c:idx val="1"/>
          <c:order val="1"/>
          <c:tx>
            <c:strRef>
              <c:f>"Gross Profit"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8d6e63"/>
            </a:solidFill>
            <a:ln w="0">
              <a:solidFill>
                <a:srgbClr val="8d6e63"/>
              </a:solidFill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Inter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'Quarterly P&amp;L'!$C$5:$F$5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'Quarterly P&amp;L'!$C$8:$F$8</c:f>
              <c:numCache>
                <c:formatCode>\$#,##0</c:formatCode>
                <c:ptCount val="4"/>
                <c:pt idx="0">
                  <c:v>361000</c:v>
                </c:pt>
                <c:pt idx="1">
                  <c:v>426000</c:v>
                </c:pt>
                <c:pt idx="2">
                  <c:v>493000</c:v>
                </c:pt>
                <c:pt idx="3">
                  <c:v>531000</c:v>
                </c:pt>
              </c:numCache>
            </c:numRef>
          </c:val>
        </c:ser>
        <c:ser>
          <c:idx val="2"/>
          <c:order val="2"/>
          <c:tx>
            <c:strRef>
              <c:f>"Net Income"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3e2723"/>
            </a:solidFill>
            <a:ln w="0">
              <a:solidFill>
                <a:srgbClr val="3e2723"/>
              </a:solidFill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Inter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'Quarterly P&amp;L'!$C$5:$F$5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'Quarterly P&amp;L'!$C$12:$F$12</c:f>
              <c:numCache>
                <c:formatCode>\$#,##0</c:formatCode>
                <c:ptCount val="4"/>
                <c:pt idx="0">
                  <c:v>125000</c:v>
                </c:pt>
                <c:pt idx="1">
                  <c:v>168000</c:v>
                </c:pt>
                <c:pt idx="2">
                  <c:v>211000</c:v>
                </c:pt>
                <c:pt idx="3">
                  <c:v>236000</c:v>
                </c:pt>
              </c:numCache>
            </c:numRef>
          </c:val>
        </c:ser>
        <c:axId val="32485907"/>
        <c:axId val="50620718"/>
      </c:areaChart>
      <c:catAx>
        <c:axId val="324859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Inter"/>
              </a:defRPr>
            </a:pPr>
          </a:p>
        </c:txPr>
        <c:crossAx val="50620718"/>
        <c:crosses val="autoZero"/>
        <c:auto val="1"/>
        <c:lblAlgn val="ctr"/>
        <c:lblOffset val="100"/>
        <c:noMultiLvlLbl val="0"/>
      </c:catAx>
      <c:valAx>
        <c:axId val="506207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Inter"/>
              </a:defRPr>
            </a:pPr>
          </a:p>
        </c:txPr>
        <c:crossAx val="3248590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Inter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0</xdr:rowOff>
    </xdr:from>
    <xdr:to>
      <xdr:col>8</xdr:col>
      <xdr:colOff>362880</xdr:colOff>
      <xdr:row>38</xdr:row>
      <xdr:rowOff>181440</xdr:rowOff>
    </xdr:to>
    <xdr:graphicFrame>
      <xdr:nvGraphicFramePr>
        <xdr:cNvPr id="0" name="Chart 1"/>
        <xdr:cNvGraphicFramePr/>
      </xdr:nvGraphicFramePr>
      <xdr:xfrm>
        <a:off x="141120" y="443880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0</xdr:rowOff>
    </xdr:from>
    <xdr:to>
      <xdr:col>11</xdr:col>
      <xdr:colOff>364680</xdr:colOff>
      <xdr:row>34</xdr:row>
      <xdr:rowOff>19080</xdr:rowOff>
    </xdr:to>
    <xdr:graphicFrame>
      <xdr:nvGraphicFramePr>
        <xdr:cNvPr id="1" name="Chart 1"/>
        <xdr:cNvGraphicFramePr/>
      </xdr:nvGraphicFramePr>
      <xdr:xfrm>
        <a:off x="9069840" y="1038240"/>
        <a:ext cx="647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7</xdr:col>
      <xdr:colOff>290880</xdr:colOff>
      <xdr:row>27</xdr:row>
      <xdr:rowOff>40320</xdr:rowOff>
    </xdr:to>
    <xdr:graphicFrame>
      <xdr:nvGraphicFramePr>
        <xdr:cNvPr id="2" name="Chart 1"/>
        <xdr:cNvGraphicFramePr/>
      </xdr:nvGraphicFramePr>
      <xdr:xfrm>
        <a:off x="6391440" y="1038240"/>
        <a:ext cx="39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8</xdr:col>
      <xdr:colOff>399240</xdr:colOff>
      <xdr:row>45</xdr:row>
      <xdr:rowOff>11880</xdr:rowOff>
    </xdr:to>
    <xdr:graphicFrame>
      <xdr:nvGraphicFramePr>
        <xdr:cNvPr id="3" name="Chart 2"/>
        <xdr:cNvGraphicFramePr/>
      </xdr:nvGraphicFramePr>
      <xdr:xfrm>
        <a:off x="6391440" y="4438800"/>
        <a:ext cx="46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16</xdr:row>
      <xdr:rowOff>0</xdr:rowOff>
    </xdr:from>
    <xdr:to>
      <xdr:col>7</xdr:col>
      <xdr:colOff>277200</xdr:colOff>
      <xdr:row>33</xdr:row>
      <xdr:rowOff>1080</xdr:rowOff>
    </xdr:to>
    <xdr:graphicFrame>
      <xdr:nvGraphicFramePr>
        <xdr:cNvPr id="4" name="Chart 1"/>
        <xdr:cNvGraphicFramePr/>
      </xdr:nvGraphicFramePr>
      <xdr:xfrm>
        <a:off x="141120" y="34862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Inter" pitchFamily="0" charset="1"/>
        <a:ea typeface=""/>
        <a:cs typeface=""/>
      </a:majorFont>
      <a:minorFont>
        <a:latin typeface="Inter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3"/>
  </cols>
  <sheetData>
    <row r="2" customFormat="false" ht="33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8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27.75" hidden="false" customHeight="tru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customFormat="false" ht="15" hidden="false" customHeight="false" outlineLevel="0" collapsed="false">
      <c r="B6" s="4" t="s">
        <v>9</v>
      </c>
      <c r="C6" s="5" t="n">
        <v>42000</v>
      </c>
      <c r="D6" s="5" t="n">
        <v>28000</v>
      </c>
      <c r="E6" s="5" t="n">
        <v>12000</v>
      </c>
      <c r="F6" s="5" t="n">
        <v>9000</v>
      </c>
      <c r="G6" s="6" t="n">
        <f aca="false">SUM(C6:F6)</f>
        <v>91000</v>
      </c>
      <c r="H6" s="7" t="s">
        <v>10</v>
      </c>
    </row>
    <row r="7" customFormat="false" ht="15" hidden="false" customHeight="false" outlineLevel="0" collapsed="false">
      <c r="B7" s="8" t="s">
        <v>11</v>
      </c>
      <c r="C7" s="9" t="n">
        <v>44000</v>
      </c>
      <c r="D7" s="9" t="n">
        <v>29000</v>
      </c>
      <c r="E7" s="9" t="n">
        <v>14000</v>
      </c>
      <c r="F7" s="9" t="n">
        <v>9000</v>
      </c>
      <c r="G7" s="10" t="n">
        <f aca="false">SUM(C7:F7)</f>
        <v>96000</v>
      </c>
      <c r="H7" s="11" t="n">
        <f aca="false">IFERROR((G7-G6)/G6,0)</f>
        <v>0.0549450549450549</v>
      </c>
    </row>
    <row r="8" customFormat="false" ht="15" hidden="false" customHeight="false" outlineLevel="0" collapsed="false">
      <c r="B8" s="4" t="s">
        <v>12</v>
      </c>
      <c r="C8" s="5" t="n">
        <v>47000</v>
      </c>
      <c r="D8" s="5" t="n">
        <v>31000</v>
      </c>
      <c r="E8" s="5" t="n">
        <v>19000</v>
      </c>
      <c r="F8" s="5" t="n">
        <v>10000</v>
      </c>
      <c r="G8" s="6" t="n">
        <f aca="false">SUM(C8:F8)</f>
        <v>107000</v>
      </c>
      <c r="H8" s="7" t="n">
        <f aca="false">IFERROR((G8-G7)/G7,0)</f>
        <v>0.114583333333333</v>
      </c>
    </row>
    <row r="9" customFormat="false" ht="15" hidden="false" customHeight="false" outlineLevel="0" collapsed="false">
      <c r="B9" s="8" t="s">
        <v>13</v>
      </c>
      <c r="C9" s="9" t="n">
        <v>45000</v>
      </c>
      <c r="D9" s="9" t="n">
        <v>33000</v>
      </c>
      <c r="E9" s="9" t="n">
        <v>26000</v>
      </c>
      <c r="F9" s="9" t="n">
        <v>10000</v>
      </c>
      <c r="G9" s="10" t="n">
        <f aca="false">SUM(C9:F9)</f>
        <v>114000</v>
      </c>
      <c r="H9" s="11" t="n">
        <f aca="false">IFERROR((G9-G8)/G8,0)</f>
        <v>0.0654205607476635</v>
      </c>
    </row>
    <row r="10" customFormat="false" ht="15" hidden="false" customHeight="false" outlineLevel="0" collapsed="false">
      <c r="B10" s="4" t="s">
        <v>14</v>
      </c>
      <c r="C10" s="5" t="n">
        <v>48000</v>
      </c>
      <c r="D10" s="5" t="n">
        <v>36000</v>
      </c>
      <c r="E10" s="5" t="n">
        <v>34000</v>
      </c>
      <c r="F10" s="5" t="n">
        <v>11000</v>
      </c>
      <c r="G10" s="6" t="n">
        <f aca="false">SUM(C10:F10)</f>
        <v>129000</v>
      </c>
      <c r="H10" s="7" t="n">
        <f aca="false">IFERROR((G10-G9)/G9,0)</f>
        <v>0.131578947368421</v>
      </c>
    </row>
    <row r="11" customFormat="false" ht="15" hidden="false" customHeight="false" outlineLevel="0" collapsed="false">
      <c r="B11" s="8" t="s">
        <v>15</v>
      </c>
      <c r="C11" s="9" t="n">
        <v>46000</v>
      </c>
      <c r="D11" s="9" t="n">
        <v>38000</v>
      </c>
      <c r="E11" s="9" t="n">
        <v>41000</v>
      </c>
      <c r="F11" s="9" t="n">
        <v>11000</v>
      </c>
      <c r="G11" s="10" t="n">
        <f aca="false">SUM(C11:F11)</f>
        <v>136000</v>
      </c>
      <c r="H11" s="11" t="n">
        <f aca="false">IFERROR((G11-G10)/G10,0)</f>
        <v>0.0542635658914729</v>
      </c>
    </row>
    <row r="12" customFormat="false" ht="15" hidden="false" customHeight="false" outlineLevel="0" collapsed="false">
      <c r="B12" s="4" t="s">
        <v>16</v>
      </c>
      <c r="C12" s="5" t="n">
        <v>44000</v>
      </c>
      <c r="D12" s="5" t="n">
        <v>40000</v>
      </c>
      <c r="E12" s="5" t="n">
        <v>45000</v>
      </c>
      <c r="F12" s="5" t="n">
        <v>12000</v>
      </c>
      <c r="G12" s="6" t="n">
        <f aca="false">SUM(C12:F12)</f>
        <v>141000</v>
      </c>
      <c r="H12" s="7" t="n">
        <f aca="false">IFERROR((G12-G11)/G11,0)</f>
        <v>0.0367647058823529</v>
      </c>
    </row>
    <row r="13" customFormat="false" ht="15" hidden="false" customHeight="false" outlineLevel="0" collapsed="false">
      <c r="B13" s="8" t="s">
        <v>17</v>
      </c>
      <c r="C13" s="9" t="n">
        <v>45000</v>
      </c>
      <c r="D13" s="9" t="n">
        <v>39000</v>
      </c>
      <c r="E13" s="9" t="n">
        <v>44000</v>
      </c>
      <c r="F13" s="9" t="n">
        <v>12000</v>
      </c>
      <c r="G13" s="10" t="n">
        <f aca="false">SUM(C13:F13)</f>
        <v>140000</v>
      </c>
      <c r="H13" s="11" t="n">
        <f aca="false">IFERROR((G13-G12)/G12,0)</f>
        <v>-0.00709219858156028</v>
      </c>
    </row>
    <row r="14" customFormat="false" ht="15" hidden="false" customHeight="false" outlineLevel="0" collapsed="false">
      <c r="B14" s="4" t="s">
        <v>18</v>
      </c>
      <c r="C14" s="5" t="n">
        <v>49000</v>
      </c>
      <c r="D14" s="5" t="n">
        <v>37000</v>
      </c>
      <c r="E14" s="5" t="n">
        <v>38000</v>
      </c>
      <c r="F14" s="5" t="n">
        <v>12000</v>
      </c>
      <c r="G14" s="6" t="n">
        <f aca="false">SUM(C14:F14)</f>
        <v>136000</v>
      </c>
      <c r="H14" s="7" t="n">
        <f aca="false">IFERROR((G14-G13)/G13,0)</f>
        <v>-0.0285714285714286</v>
      </c>
    </row>
    <row r="15" customFormat="false" ht="15" hidden="false" customHeight="false" outlineLevel="0" collapsed="false">
      <c r="B15" s="8" t="s">
        <v>19</v>
      </c>
      <c r="C15" s="9" t="n">
        <v>55000</v>
      </c>
      <c r="D15" s="9" t="n">
        <v>35000</v>
      </c>
      <c r="E15" s="9" t="n">
        <v>28000</v>
      </c>
      <c r="F15" s="9" t="n">
        <v>13000</v>
      </c>
      <c r="G15" s="10" t="n">
        <f aca="false">SUM(C15:F15)</f>
        <v>131000</v>
      </c>
      <c r="H15" s="11" t="n">
        <f aca="false">IFERROR((G15-G14)/G14,0)</f>
        <v>-0.0367647058823529</v>
      </c>
    </row>
    <row r="16" customFormat="false" ht="15" hidden="false" customHeight="false" outlineLevel="0" collapsed="false">
      <c r="B16" s="4" t="s">
        <v>20</v>
      </c>
      <c r="C16" s="5" t="n">
        <v>63000</v>
      </c>
      <c r="D16" s="5" t="n">
        <v>34000</v>
      </c>
      <c r="E16" s="5" t="n">
        <v>20000</v>
      </c>
      <c r="F16" s="5" t="n">
        <v>15000</v>
      </c>
      <c r="G16" s="6" t="n">
        <f aca="false">SUM(C16:F16)</f>
        <v>132000</v>
      </c>
      <c r="H16" s="7" t="n">
        <f aca="false">IFERROR((G16-G15)/G15,0)</f>
        <v>0.00763358778625954</v>
      </c>
    </row>
    <row r="17" customFormat="false" ht="15" hidden="false" customHeight="false" outlineLevel="0" collapsed="false">
      <c r="B17" s="8" t="s">
        <v>21</v>
      </c>
      <c r="C17" s="9" t="n">
        <v>71000</v>
      </c>
      <c r="D17" s="9" t="n">
        <v>33000</v>
      </c>
      <c r="E17" s="9" t="n">
        <v>15000</v>
      </c>
      <c r="F17" s="9" t="n">
        <v>17000</v>
      </c>
      <c r="G17" s="10" t="n">
        <f aca="false">SUM(C17:F17)</f>
        <v>136000</v>
      </c>
      <c r="H17" s="11" t="n">
        <f aca="false">IFERROR((G17-G16)/G16,0)</f>
        <v>0.0303030303030303</v>
      </c>
    </row>
    <row r="18" customFormat="false" ht="15" hidden="false" customHeight="false" outlineLevel="0" collapsed="false">
      <c r="B18" s="12" t="s">
        <v>22</v>
      </c>
      <c r="C18" s="13" t="n">
        <f aca="false">SUM(C6:C17)</f>
        <v>599000</v>
      </c>
      <c r="D18" s="13" t="n">
        <f aca="false">SUM(D6:D17)</f>
        <v>413000</v>
      </c>
      <c r="E18" s="13" t="n">
        <f aca="false">SUM(E6:E17)</f>
        <v>336000</v>
      </c>
      <c r="F18" s="13" t="n">
        <f aca="false">SUM(F6:F17)</f>
        <v>141000</v>
      </c>
      <c r="G18" s="13" t="n">
        <f aca="false">SUM(G6:G17)</f>
        <v>1489000</v>
      </c>
      <c r="H18" s="14" t="n">
        <f aca="false">IFERROR((G17-G6)/G6,0)</f>
        <v>0.494505494505495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6" min="5" style="0" width="11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10" min="9" style="0" width="13"/>
  </cols>
  <sheetData>
    <row r="2" customFormat="false" ht="33.75" hidden="false" customHeight="true" outlineLevel="0" collapsed="false">
      <c r="B2" s="1" t="s">
        <v>23</v>
      </c>
      <c r="C2" s="1"/>
      <c r="D2" s="1"/>
      <c r="E2" s="1"/>
      <c r="F2" s="1"/>
      <c r="G2" s="1"/>
      <c r="H2" s="1"/>
      <c r="I2" s="1"/>
      <c r="J2" s="1"/>
    </row>
    <row r="3" customFormat="false" ht="18" hidden="false" customHeight="true" outlineLevel="0" collapsed="false">
      <c r="B3" s="2" t="s">
        <v>24</v>
      </c>
      <c r="C3" s="2"/>
      <c r="D3" s="2"/>
      <c r="E3" s="2"/>
      <c r="F3" s="2"/>
      <c r="G3" s="2"/>
      <c r="H3" s="2"/>
      <c r="I3" s="2"/>
      <c r="J3" s="2"/>
    </row>
    <row r="5" customFormat="false" ht="27.75" hidden="false" customHeight="true" outlineLevel="0" collapsed="false"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33</v>
      </c>
    </row>
    <row r="6" customFormat="false" ht="15" hidden="false" customHeight="false" outlineLevel="0" collapsed="false">
      <c r="B6" s="15" t="s">
        <v>34</v>
      </c>
      <c r="C6" s="16" t="s">
        <v>3</v>
      </c>
      <c r="D6" s="16" t="s">
        <v>35</v>
      </c>
      <c r="E6" s="17" t="n">
        <v>18</v>
      </c>
      <c r="F6" s="17" t="n">
        <v>7.2</v>
      </c>
      <c r="G6" s="18" t="n">
        <f aca="false">IFERROR((E6-F6)/E6,0)</f>
        <v>0.6</v>
      </c>
      <c r="H6" s="19" t="n">
        <v>31800</v>
      </c>
      <c r="I6" s="5" t="n">
        <f aca="false">E6*H6</f>
        <v>572400</v>
      </c>
      <c r="J6" s="5" t="n">
        <f aca="false">(E6-F6)*H6</f>
        <v>343440</v>
      </c>
    </row>
    <row r="7" customFormat="false" ht="15" hidden="false" customHeight="false" outlineLevel="0" collapsed="false">
      <c r="B7" s="20" t="s">
        <v>36</v>
      </c>
      <c r="C7" s="21" t="s">
        <v>37</v>
      </c>
      <c r="D7" s="21" t="s">
        <v>35</v>
      </c>
      <c r="E7" s="22" t="n">
        <v>22</v>
      </c>
      <c r="F7" s="22" t="n">
        <v>9.9</v>
      </c>
      <c r="G7" s="23" t="n">
        <f aca="false">IFERROR((E7-F7)/E7,0)</f>
        <v>0.55</v>
      </c>
      <c r="H7" s="24" t="n">
        <v>14200</v>
      </c>
      <c r="I7" s="9" t="n">
        <f aca="false">E7*H7</f>
        <v>312400</v>
      </c>
      <c r="J7" s="9" t="n">
        <f aca="false">(E7-F7)*H7</f>
        <v>171820</v>
      </c>
    </row>
    <row r="8" customFormat="false" ht="15" hidden="false" customHeight="false" outlineLevel="0" collapsed="false">
      <c r="B8" s="15" t="s">
        <v>38</v>
      </c>
      <c r="C8" s="16" t="s">
        <v>39</v>
      </c>
      <c r="D8" s="16" t="s">
        <v>40</v>
      </c>
      <c r="E8" s="17" t="n">
        <v>14</v>
      </c>
      <c r="F8" s="17" t="n">
        <v>5.6</v>
      </c>
      <c r="G8" s="18" t="n">
        <f aca="false">IFERROR((E8-F8)/E8,0)</f>
        <v>0.6</v>
      </c>
      <c r="H8" s="19" t="n">
        <v>22600</v>
      </c>
      <c r="I8" s="5" t="n">
        <f aca="false">E8*H8</f>
        <v>316400</v>
      </c>
      <c r="J8" s="5" t="n">
        <f aca="false">(E8-F8)*H8</f>
        <v>189840</v>
      </c>
    </row>
    <row r="9" customFormat="false" ht="15" hidden="false" customHeight="false" outlineLevel="0" collapsed="false">
      <c r="B9" s="20" t="s">
        <v>41</v>
      </c>
      <c r="C9" s="21" t="s">
        <v>6</v>
      </c>
      <c r="D9" s="21" t="s">
        <v>35</v>
      </c>
      <c r="E9" s="22" t="n">
        <v>19</v>
      </c>
      <c r="F9" s="22" t="n">
        <v>8.55</v>
      </c>
      <c r="G9" s="23" t="n">
        <f aca="false">IFERROR((E9-F9)/E9,0)</f>
        <v>0.55</v>
      </c>
      <c r="H9" s="24" t="n">
        <v>8900</v>
      </c>
      <c r="I9" s="9" t="n">
        <f aca="false">E9*H9</f>
        <v>169100</v>
      </c>
      <c r="J9" s="9" t="n">
        <f aca="false">(E9-F9)*H9</f>
        <v>93005</v>
      </c>
    </row>
    <row r="10" customFormat="false" ht="15" hidden="false" customHeight="false" outlineLevel="0" collapsed="false">
      <c r="B10" s="15" t="s">
        <v>42</v>
      </c>
      <c r="C10" s="16" t="s">
        <v>43</v>
      </c>
      <c r="D10" s="16" t="s">
        <v>44</v>
      </c>
      <c r="E10" s="17" t="n">
        <v>16</v>
      </c>
      <c r="F10" s="17" t="n">
        <v>6.4</v>
      </c>
      <c r="G10" s="18" t="n">
        <f aca="false">IFERROR((E10-F10)/E10,0)</f>
        <v>0.6</v>
      </c>
      <c r="H10" s="19" t="n">
        <v>27400</v>
      </c>
      <c r="I10" s="5" t="n">
        <f aca="false">E10*H10</f>
        <v>438400</v>
      </c>
      <c r="J10" s="5" t="n">
        <f aca="false">(E10-F10)*H10</f>
        <v>263040</v>
      </c>
    </row>
    <row r="11" customFormat="false" ht="15" hidden="false" customHeight="false" outlineLevel="0" collapsed="false">
      <c r="B11" s="20" t="s">
        <v>45</v>
      </c>
      <c r="C11" s="21" t="s">
        <v>46</v>
      </c>
      <c r="D11" s="21" t="s">
        <v>47</v>
      </c>
      <c r="E11" s="22" t="n">
        <v>24</v>
      </c>
      <c r="F11" s="22" t="n">
        <v>11</v>
      </c>
      <c r="G11" s="23" t="n">
        <f aca="false">IFERROR((E11-F11)/E11,0)</f>
        <v>0.541666666666667</v>
      </c>
      <c r="H11" s="24" t="n">
        <v>19750</v>
      </c>
      <c r="I11" s="9" t="n">
        <f aca="false">E11*H11</f>
        <v>474000</v>
      </c>
      <c r="J11" s="9" t="n">
        <f aca="false">(E11-F11)*H11</f>
        <v>256750</v>
      </c>
    </row>
    <row r="12" customFormat="false" ht="15" hidden="false" customHeight="false" outlineLevel="0" collapsed="false">
      <c r="B12" s="15" t="s">
        <v>48</v>
      </c>
      <c r="C12" s="16" t="s">
        <v>49</v>
      </c>
      <c r="D12" s="16" t="s">
        <v>35</v>
      </c>
      <c r="E12" s="17" t="n">
        <v>21</v>
      </c>
      <c r="F12" s="17" t="n">
        <v>8.4</v>
      </c>
      <c r="G12" s="18" t="n">
        <f aca="false">IFERROR((E12-F12)/E12,0)</f>
        <v>0.6</v>
      </c>
      <c r="H12" s="19" t="n">
        <v>11300</v>
      </c>
      <c r="I12" s="5" t="n">
        <f aca="false">E12*H12</f>
        <v>237300</v>
      </c>
      <c r="J12" s="5" t="n">
        <f aca="false">(E12-F12)*H12</f>
        <v>142380</v>
      </c>
    </row>
    <row r="13" customFormat="false" ht="15" hidden="false" customHeight="false" outlineLevel="0" collapsed="false">
      <c r="B13" s="20" t="s">
        <v>50</v>
      </c>
      <c r="C13" s="21" t="s">
        <v>51</v>
      </c>
      <c r="D13" s="21" t="s">
        <v>44</v>
      </c>
      <c r="E13" s="22" t="n">
        <v>15</v>
      </c>
      <c r="F13" s="22" t="n">
        <v>6</v>
      </c>
      <c r="G13" s="23" t="n">
        <f aca="false">IFERROR((E13-F13)/E13,0)</f>
        <v>0.6</v>
      </c>
      <c r="H13" s="24" t="n">
        <v>33100</v>
      </c>
      <c r="I13" s="9" t="n">
        <f aca="false">E13*H13</f>
        <v>496500</v>
      </c>
      <c r="J13" s="9" t="n">
        <f aca="false">(E13-F13)*H13</f>
        <v>297900</v>
      </c>
    </row>
    <row r="14" customFormat="false" ht="15" hidden="false" customHeight="false" outlineLevel="0" collapsed="false">
      <c r="B14" s="15" t="s">
        <v>52</v>
      </c>
      <c r="C14" s="16" t="s">
        <v>53</v>
      </c>
      <c r="D14" s="16" t="s">
        <v>54</v>
      </c>
      <c r="E14" s="17" t="n">
        <v>39</v>
      </c>
      <c r="F14" s="17" t="n">
        <v>22</v>
      </c>
      <c r="G14" s="18" t="n">
        <f aca="false">IFERROR((E14-F14)/E14,0)</f>
        <v>0.435897435897436</v>
      </c>
      <c r="H14" s="19" t="n">
        <v>2600</v>
      </c>
      <c r="I14" s="5" t="n">
        <f aca="false">E14*H14</f>
        <v>101400</v>
      </c>
      <c r="J14" s="5" t="n">
        <f aca="false">(E14-F14)*H14</f>
        <v>44200</v>
      </c>
    </row>
    <row r="15" customFormat="false" ht="15" hidden="false" customHeight="false" outlineLevel="0" collapsed="false">
      <c r="B15" s="20" t="s">
        <v>55</v>
      </c>
      <c r="C15" s="21" t="s">
        <v>56</v>
      </c>
      <c r="D15" s="21" t="s">
        <v>54</v>
      </c>
      <c r="E15" s="22" t="n">
        <v>34</v>
      </c>
      <c r="F15" s="22" t="n">
        <v>17.5</v>
      </c>
      <c r="G15" s="23" t="n">
        <f aca="false">IFERROR((E15-F15)/E15,0)</f>
        <v>0.485294117647059</v>
      </c>
      <c r="H15" s="24" t="n">
        <v>4100</v>
      </c>
      <c r="I15" s="9" t="n">
        <f aca="false">E15*H15</f>
        <v>139400</v>
      </c>
      <c r="J15" s="9" t="n">
        <f aca="false">(E15-F15)*H15</f>
        <v>67650</v>
      </c>
    </row>
    <row r="16" customFormat="false" ht="15" hidden="false" customHeight="false" outlineLevel="0" collapsed="false">
      <c r="B16" s="12" t="s">
        <v>57</v>
      </c>
      <c r="C16" s="12"/>
      <c r="D16" s="12"/>
      <c r="E16" s="12"/>
      <c r="F16" s="12"/>
      <c r="G16" s="25" t="n">
        <f aca="false">IFERROR(1-SUMPRODUCT(F6:F15,H6:H15)/SUMPRODUCT(E6:E15,H6:H15),0)</f>
        <v>0.574102784514782</v>
      </c>
      <c r="H16" s="26" t="n">
        <f aca="false">SUM(H6:H15)</f>
        <v>175750</v>
      </c>
      <c r="I16" s="13" t="n">
        <f aca="false">SUM(I6:I15)</f>
        <v>3257300</v>
      </c>
      <c r="J16" s="13" t="n">
        <f aca="false">SUM(J6:J15)</f>
        <v>1870025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5" min="3" style="0" width="13"/>
    <col collapsed="false" customWidth="true" hidden="false" outlineLevel="0" max="6" min="6" style="0" width="14"/>
    <col collapsed="false" customWidth="true" hidden="false" outlineLevel="0" max="7" min="7" style="0" width="11"/>
  </cols>
  <sheetData>
    <row r="2" customFormat="false" ht="33.75" hidden="false" customHeight="true" outlineLevel="0" collapsed="false">
      <c r="B2" s="1" t="s">
        <v>58</v>
      </c>
      <c r="C2" s="1"/>
      <c r="D2" s="1"/>
      <c r="E2" s="1"/>
      <c r="F2" s="1"/>
      <c r="G2" s="1"/>
      <c r="H2" s="1"/>
    </row>
    <row r="3" customFormat="false" ht="18" hidden="false" customHeight="true" outlineLevel="0" collapsed="false">
      <c r="B3" s="2" t="s">
        <v>59</v>
      </c>
      <c r="C3" s="2"/>
      <c r="D3" s="2"/>
      <c r="E3" s="2"/>
      <c r="F3" s="2"/>
      <c r="G3" s="2"/>
      <c r="H3" s="2"/>
    </row>
    <row r="5" customFormat="false" ht="27.75" hidden="false" customHeight="true" outlineLevel="0" collapsed="false">
      <c r="B5" s="3" t="s">
        <v>60</v>
      </c>
      <c r="C5" s="3" t="s">
        <v>61</v>
      </c>
      <c r="D5" s="3" t="s">
        <v>62</v>
      </c>
      <c r="E5" s="3" t="s">
        <v>63</v>
      </c>
      <c r="F5" s="3" t="s">
        <v>57</v>
      </c>
      <c r="G5" s="3" t="s">
        <v>64</v>
      </c>
    </row>
    <row r="6" customFormat="false" ht="15" hidden="false" customHeight="false" outlineLevel="0" collapsed="false">
      <c r="B6" s="4" t="s">
        <v>65</v>
      </c>
      <c r="C6" s="5" t="n">
        <v>486000</v>
      </c>
      <c r="D6" s="5" t="n">
        <v>312000</v>
      </c>
      <c r="E6" s="5" t="n">
        <v>268000</v>
      </c>
      <c r="F6" s="5" t="n">
        <f aca="false">SUM(C6:E6)</f>
        <v>1066000</v>
      </c>
      <c r="G6" s="18" t="n">
        <f aca="false">IFERROR(F6/$F$11,0)</f>
        <v>0.476531068395172</v>
      </c>
    </row>
    <row r="7" customFormat="false" ht="15" hidden="false" customHeight="false" outlineLevel="0" collapsed="false">
      <c r="B7" s="8" t="s">
        <v>66</v>
      </c>
      <c r="C7" s="9" t="n">
        <v>214000</v>
      </c>
      <c r="D7" s="9" t="n">
        <v>178000</v>
      </c>
      <c r="E7" s="9" t="n">
        <v>142000</v>
      </c>
      <c r="F7" s="9" t="n">
        <f aca="false">SUM(C7:E7)</f>
        <v>534000</v>
      </c>
      <c r="G7" s="23" t="n">
        <f aca="false">IFERROR(F7/$F$11,0)</f>
        <v>0.238712561466249</v>
      </c>
    </row>
    <row r="8" customFormat="false" ht="15" hidden="false" customHeight="false" outlineLevel="0" collapsed="false">
      <c r="B8" s="4" t="s">
        <v>67</v>
      </c>
      <c r="C8" s="5" t="n">
        <v>132000</v>
      </c>
      <c r="D8" s="5" t="n">
        <v>96000</v>
      </c>
      <c r="E8" s="5" t="n">
        <v>118000</v>
      </c>
      <c r="F8" s="5" t="n">
        <f aca="false">SUM(C8:E8)</f>
        <v>346000</v>
      </c>
      <c r="G8" s="18" t="n">
        <f aca="false">IFERROR(F8/$F$11,0)</f>
        <v>0.154671434957532</v>
      </c>
    </row>
    <row r="9" customFormat="false" ht="15" hidden="false" customHeight="false" outlineLevel="0" collapsed="false">
      <c r="B9" s="8" t="s">
        <v>68</v>
      </c>
      <c r="C9" s="9" t="n">
        <v>74000</v>
      </c>
      <c r="D9" s="9" t="n">
        <v>61000</v>
      </c>
      <c r="E9" s="9" t="n">
        <v>49000</v>
      </c>
      <c r="F9" s="9" t="n">
        <f aca="false">SUM(C9:E9)</f>
        <v>184000</v>
      </c>
      <c r="G9" s="23" t="n">
        <f aca="false">IFERROR(F9/$F$11,0)</f>
        <v>0.0822530174340635</v>
      </c>
    </row>
    <row r="10" customFormat="false" ht="15" hidden="false" customHeight="false" outlineLevel="0" collapsed="false">
      <c r="B10" s="4" t="s">
        <v>69</v>
      </c>
      <c r="C10" s="5" t="n">
        <v>38000</v>
      </c>
      <c r="D10" s="5" t="n">
        <v>42000</v>
      </c>
      <c r="E10" s="5" t="n">
        <v>27000</v>
      </c>
      <c r="F10" s="5" t="n">
        <f aca="false">SUM(C10:E10)</f>
        <v>107000</v>
      </c>
      <c r="G10" s="18" t="n">
        <f aca="false">IFERROR(F10/$F$11,0)</f>
        <v>0.0478319177469826</v>
      </c>
    </row>
    <row r="11" customFormat="false" ht="15" hidden="false" customHeight="false" outlineLevel="0" collapsed="false">
      <c r="B11" s="12" t="s">
        <v>57</v>
      </c>
      <c r="C11" s="13" t="n">
        <f aca="false">SUM(C6:C10)</f>
        <v>944000</v>
      </c>
      <c r="D11" s="13" t="n">
        <f aca="false">SUM(D6:D10)</f>
        <v>689000</v>
      </c>
      <c r="E11" s="13" t="n">
        <f aca="false">SUM(E6:E10)</f>
        <v>604000</v>
      </c>
      <c r="F11" s="13" t="n">
        <f aca="false">SUM(F6:F10)</f>
        <v>2237000</v>
      </c>
      <c r="G11" s="25" t="n">
        <f aca="false">IFERROR(F11/F11,0)</f>
        <v>1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6" min="3" style="0" width="13"/>
    <col collapsed="false" customWidth="true" hidden="false" outlineLevel="0" max="7" min="7" style="0" width="14"/>
  </cols>
  <sheetData>
    <row r="2" customFormat="false" ht="33.75" hidden="false" customHeight="true" outlineLevel="0" collapsed="false">
      <c r="B2" s="1" t="s">
        <v>70</v>
      </c>
      <c r="C2" s="1"/>
      <c r="D2" s="1"/>
      <c r="E2" s="1"/>
      <c r="F2" s="1"/>
      <c r="G2" s="1"/>
      <c r="H2" s="1"/>
    </row>
    <row r="3" customFormat="false" ht="18" hidden="false" customHeight="true" outlineLevel="0" collapsed="false">
      <c r="B3" s="2" t="s">
        <v>71</v>
      </c>
      <c r="C3" s="2"/>
      <c r="D3" s="2"/>
      <c r="E3" s="2"/>
      <c r="F3" s="2"/>
      <c r="G3" s="2"/>
      <c r="H3" s="2"/>
    </row>
    <row r="5" customFormat="false" ht="27.75" hidden="false" customHeight="true" outlineLevel="0" collapsed="false">
      <c r="B5" s="3" t="s">
        <v>72</v>
      </c>
      <c r="C5" s="3" t="s">
        <v>73</v>
      </c>
      <c r="D5" s="3" t="s">
        <v>74</v>
      </c>
      <c r="E5" s="3" t="s">
        <v>75</v>
      </c>
      <c r="F5" s="3" t="s">
        <v>76</v>
      </c>
      <c r="G5" s="3" t="s">
        <v>77</v>
      </c>
    </row>
    <row r="6" customFormat="false" ht="15" hidden="false" customHeight="false" outlineLevel="0" collapsed="false">
      <c r="B6" s="16" t="s">
        <v>32</v>
      </c>
      <c r="C6" s="27" t="n">
        <v>612000</v>
      </c>
      <c r="D6" s="27" t="n">
        <v>705000</v>
      </c>
      <c r="E6" s="27" t="n">
        <v>798000</v>
      </c>
      <c r="F6" s="27" t="n">
        <v>861000</v>
      </c>
      <c r="G6" s="6" t="n">
        <f aca="false">SUM(C6:F6)</f>
        <v>2976000</v>
      </c>
    </row>
    <row r="7" customFormat="false" ht="15" hidden="false" customHeight="false" outlineLevel="0" collapsed="false">
      <c r="B7" s="21" t="s">
        <v>78</v>
      </c>
      <c r="C7" s="28" t="n">
        <v>251000</v>
      </c>
      <c r="D7" s="28" t="n">
        <v>279000</v>
      </c>
      <c r="E7" s="28" t="n">
        <v>305000</v>
      </c>
      <c r="F7" s="28" t="n">
        <v>330000</v>
      </c>
      <c r="G7" s="10" t="n">
        <f aca="false">SUM(C7:F7)</f>
        <v>1165000</v>
      </c>
    </row>
    <row r="8" customFormat="false" ht="15" hidden="false" customHeight="false" outlineLevel="0" collapsed="false">
      <c r="B8" s="4" t="s">
        <v>33</v>
      </c>
      <c r="C8" s="27" t="n">
        <f aca="false">C6-C7</f>
        <v>361000</v>
      </c>
      <c r="D8" s="27" t="n">
        <f aca="false">D6-D7</f>
        <v>426000</v>
      </c>
      <c r="E8" s="27" t="n">
        <f aca="false">E6-E7</f>
        <v>493000</v>
      </c>
      <c r="F8" s="27" t="n">
        <f aca="false">F6-F7</f>
        <v>531000</v>
      </c>
      <c r="G8" s="6" t="n">
        <f aca="false">SUM(C8:F8)</f>
        <v>1811000</v>
      </c>
    </row>
    <row r="9" customFormat="false" ht="15" hidden="false" customHeight="false" outlineLevel="0" collapsed="false">
      <c r="B9" s="21" t="s">
        <v>79</v>
      </c>
      <c r="C9" s="28" t="n">
        <v>214000</v>
      </c>
      <c r="D9" s="28" t="n">
        <v>236000</v>
      </c>
      <c r="E9" s="28" t="n">
        <v>258000</v>
      </c>
      <c r="F9" s="28" t="n">
        <v>271000</v>
      </c>
      <c r="G9" s="10" t="n">
        <f aca="false">SUM(C9:F9)</f>
        <v>979000</v>
      </c>
    </row>
    <row r="10" customFormat="false" ht="15" hidden="false" customHeight="false" outlineLevel="0" collapsed="false">
      <c r="B10" s="4" t="s">
        <v>80</v>
      </c>
      <c r="C10" s="27" t="n">
        <f aca="false">C8-C9</f>
        <v>147000</v>
      </c>
      <c r="D10" s="27" t="n">
        <f aca="false">D8-D9</f>
        <v>190000</v>
      </c>
      <c r="E10" s="27" t="n">
        <f aca="false">E8-E9</f>
        <v>235000</v>
      </c>
      <c r="F10" s="27" t="n">
        <f aca="false">F8-F9</f>
        <v>260000</v>
      </c>
      <c r="G10" s="6" t="n">
        <f aca="false">SUM(C10:F10)</f>
        <v>832000</v>
      </c>
    </row>
    <row r="11" customFormat="false" ht="15" hidden="false" customHeight="false" outlineLevel="0" collapsed="false">
      <c r="B11" s="21" t="s">
        <v>81</v>
      </c>
      <c r="C11" s="28" t="n">
        <v>22000</v>
      </c>
      <c r="D11" s="28" t="n">
        <v>22000</v>
      </c>
      <c r="E11" s="28" t="n">
        <v>24000</v>
      </c>
      <c r="F11" s="28" t="n">
        <v>24000</v>
      </c>
      <c r="G11" s="10" t="n">
        <f aca="false">SUM(C11:F11)</f>
        <v>92000</v>
      </c>
    </row>
    <row r="12" customFormat="false" ht="15" hidden="false" customHeight="false" outlineLevel="0" collapsed="false">
      <c r="B12" s="12" t="s">
        <v>82</v>
      </c>
      <c r="C12" s="29" t="n">
        <f aca="false">C10-C11</f>
        <v>125000</v>
      </c>
      <c r="D12" s="29" t="n">
        <f aca="false">D10-D11</f>
        <v>168000</v>
      </c>
      <c r="E12" s="29" t="n">
        <f aca="false">E10-E11</f>
        <v>211000</v>
      </c>
      <c r="F12" s="29" t="n">
        <f aca="false">F10-F11</f>
        <v>236000</v>
      </c>
      <c r="G12" s="13" t="n">
        <f aca="false">SUM(C12:F12)</f>
        <v>740000</v>
      </c>
    </row>
    <row r="13" customFormat="false" ht="15" hidden="false" customHeight="false" outlineLevel="0" collapsed="false">
      <c r="B13" s="8" t="s">
        <v>83</v>
      </c>
      <c r="C13" s="23" t="n">
        <f aca="false">IFERROR(C12/C6,0)</f>
        <v>0.204248366013072</v>
      </c>
      <c r="D13" s="23" t="n">
        <f aca="false">IFERROR(D12/D6,0)</f>
        <v>0.238297872340426</v>
      </c>
      <c r="E13" s="23" t="n">
        <f aca="false">IFERROR(E12/E6,0)</f>
        <v>0.264411027568922</v>
      </c>
      <c r="F13" s="23" t="n">
        <f aca="false">IFERROR(F12/F6,0)</f>
        <v>0.274099883855981</v>
      </c>
      <c r="G13" s="30" t="n">
        <f aca="false">IFERROR(G12/G6,0)</f>
        <v>0.248655913978495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2026-07-11T20:28:23Z</dcterms:created>
  <dc:creator>openpyxl</dc:creator>
  <dc:description/>
  <dc:language>en-US</dc:language>
  <cp:lastModifiedBy/>
  <dcterms:modified xsi:type="dcterms:W3CDTF">2026-07-11T20:28:34Z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